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defaultThemeVersion="166925"/>
  <mc:AlternateContent xmlns:mc="http://schemas.openxmlformats.org/markup-compatibility/2006">
    <mc:Choice Requires="x15">
      <x15ac:absPath xmlns:x15ac="http://schemas.microsoft.com/office/spreadsheetml/2010/11/ac" url="C:\moi\cours\IFA1\CA FONCTIONNE PRESQUE MAIS FAUTES\CA FONCTIONNE PRESQUE MAIS FAUTES\"/>
    </mc:Choice>
  </mc:AlternateContent>
  <xr:revisionPtr revIDLastSave="0" documentId="13_ncr:1_{E1038019-C7A9-4456-AC5D-686180F2AF1E}" xr6:coauthVersionLast="46" xr6:coauthVersionMax="46" xr10:uidLastSave="{00000000-0000-0000-0000-000000000000}"/>
  <bookViews>
    <workbookView xWindow="-108" yWindow="-108" windowWidth="23256" windowHeight="12576" activeTab="1" xr2:uid="{6D54BC66-2AB1-485F-9428-D394E7D5EEF4}"/>
  </bookViews>
  <sheets>
    <sheet name="Jeux" sheetId="2" r:id="rId1"/>
    <sheet name="Histoire" sheetId="3" r:id="rId2"/>
  </sheets>
  <definedNames>
    <definedName name="Chap1">Histoire!$H$7:$AH$10</definedName>
    <definedName name="Choix1">Histoire!$E$8</definedName>
    <definedName name="Choix2">Histoire!$E$9</definedName>
    <definedName name="num">Histoire!$E$7</definedName>
    <definedName name="Situ1">Histoire!$E$9</definedName>
    <definedName name="Situa1">Histoire!$E$10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I10" i="3" l="1"/>
  <c r="BF10" i="3"/>
  <c r="BE10" i="3"/>
  <c r="BD10" i="3"/>
  <c r="BC10" i="3"/>
  <c r="BB8" i="3"/>
  <c r="BA10" i="3"/>
  <c r="AW10" i="3"/>
  <c r="AS8" i="3"/>
  <c r="AS10" i="3"/>
  <c r="AK10" i="3"/>
  <c r="AF10" i="3"/>
  <c r="AD10" i="3"/>
  <c r="X10" i="3"/>
  <c r="V10" i="3"/>
  <c r="T9" i="3"/>
  <c r="O10" i="3"/>
  <c r="N8" i="3"/>
  <c r="J10" i="3"/>
  <c r="E11" i="3" l="1"/>
  <c r="Z10" i="3" l="1"/>
  <c r="AY10" i="3" l="1"/>
  <c r="J19" i="3" l="1"/>
  <c r="I19" i="3"/>
  <c r="D54" i="3"/>
  <c r="D55" i="3" s="1"/>
  <c r="D56" i="3" s="1"/>
  <c r="D57" i="3" s="1"/>
  <c r="D58" i="3" s="1"/>
  <c r="D59" i="3" s="1"/>
  <c r="D60" i="3" s="1"/>
  <c r="D61" i="3" s="1"/>
  <c r="D62" i="3" s="1"/>
  <c r="D63" i="3" s="1"/>
  <c r="D64" i="3" s="1"/>
  <c r="D65" i="3" s="1"/>
  <c r="D66" i="3" s="1"/>
  <c r="D67" i="3" s="1"/>
  <c r="D68" i="3" s="1"/>
  <c r="D69" i="3" s="1"/>
  <c r="D70" i="3" s="1"/>
  <c r="D71" i="3" s="1"/>
  <c r="D72" i="3" s="1"/>
  <c r="D73" i="3" s="1"/>
  <c r="D74" i="3" s="1"/>
  <c r="D75" i="3" s="1"/>
  <c r="D76" i="3" s="1"/>
  <c r="D77" i="3" s="1"/>
  <c r="D78" i="3" s="1"/>
  <c r="D79" i="3" s="1"/>
  <c r="D80" i="3" s="1"/>
  <c r="D81" i="3" s="1"/>
  <c r="D82" i="3" s="1"/>
  <c r="D83" i="3" s="1"/>
  <c r="D84" i="3" s="1"/>
  <c r="D85" i="3" s="1"/>
  <c r="D86" i="3" s="1"/>
  <c r="D87" i="3" s="1"/>
  <c r="D88" i="3" s="1"/>
  <c r="D89" i="3" s="1"/>
  <c r="D90" i="3" s="1"/>
  <c r="D91" i="3" s="1"/>
  <c r="D92" i="3" s="1"/>
  <c r="D93" i="3" s="1"/>
  <c r="D94" i="3" s="1"/>
  <c r="D95" i="3" s="1"/>
  <c r="D96" i="3" s="1"/>
  <c r="D97" i="3" s="1"/>
  <c r="D98" i="3" s="1"/>
  <c r="D99" i="3" s="1"/>
  <c r="E8" i="3"/>
  <c r="AZ7" i="3"/>
  <c r="BA7" i="3" s="1"/>
  <c r="BB7" i="3" s="1"/>
  <c r="BC7" i="3" s="1"/>
  <c r="BD7" i="3" s="1"/>
  <c r="BE7" i="3" s="1"/>
  <c r="BF7" i="3" s="1"/>
  <c r="BG7" i="3" s="1"/>
  <c r="BH7" i="3" s="1"/>
  <c r="BI7" i="3" s="1"/>
  <c r="BJ7" i="3" s="1"/>
  <c r="BK7" i="3" s="1"/>
  <c r="BL7" i="3" s="1"/>
  <c r="BM7" i="3" s="1"/>
  <c r="BN7" i="3" s="1"/>
  <c r="BO7" i="3" s="1"/>
  <c r="BP7" i="3" s="1"/>
  <c r="BQ7" i="3" s="1"/>
  <c r="BR7" i="3" s="1"/>
  <c r="BS7" i="3" s="1"/>
  <c r="BT7" i="3" s="1"/>
  <c r="BU7" i="3" s="1"/>
  <c r="BV7" i="3" s="1"/>
  <c r="BW7" i="3" s="1"/>
  <c r="BX7" i="3" s="1"/>
  <c r="BY7" i="3" s="1"/>
  <c r="BZ7" i="3" s="1"/>
  <c r="CA7" i="3" s="1"/>
  <c r="CB7" i="3" s="1"/>
  <c r="AJ7" i="3" l="1"/>
  <c r="AK7" i="3" s="1"/>
  <c r="AL7" i="3" s="1"/>
  <c r="AM7" i="3" s="1"/>
  <c r="AN7" i="3" s="1"/>
  <c r="AO7" i="3" s="1"/>
  <c r="AP7" i="3" s="1"/>
  <c r="AQ7" i="3" s="1"/>
  <c r="AR7" i="3" s="1"/>
  <c r="AS7" i="3" s="1"/>
  <c r="AT7" i="3" s="1"/>
  <c r="AU7" i="3" s="1"/>
  <c r="AV7" i="3" s="1"/>
  <c r="AW7" i="3" s="1"/>
  <c r="AX7" i="3" s="1"/>
  <c r="AY7" i="3" s="1"/>
  <c r="AE7" i="3"/>
  <c r="AF7" i="3" s="1"/>
  <c r="AG7" i="3" s="1"/>
  <c r="AH7" i="3" s="1"/>
  <c r="AI7" i="3" s="1"/>
  <c r="AE10" i="3"/>
  <c r="T10" i="3" l="1"/>
  <c r="W7" i="3" l="1"/>
  <c r="X7" i="3" s="1"/>
  <c r="Y7" i="3" s="1"/>
  <c r="Z7" i="3" s="1"/>
  <c r="AA7" i="3" s="1"/>
  <c r="AB7" i="3" s="1"/>
  <c r="AC7" i="3" s="1"/>
  <c r="AD7" i="3" s="1"/>
  <c r="D44" i="3"/>
  <c r="D45" i="3" s="1"/>
  <c r="D46" i="3" s="1"/>
  <c r="D47" i="3" s="1"/>
  <c r="D48" i="3" s="1"/>
  <c r="D49" i="3" s="1"/>
  <c r="D50" i="3" s="1"/>
  <c r="D51" i="3" s="1"/>
  <c r="D52" i="3" s="1"/>
  <c r="D53" i="3" s="1"/>
  <c r="Q7" i="3" l="1"/>
  <c r="R7" i="3"/>
  <c r="S7" i="3"/>
  <c r="T7" i="3" s="1"/>
  <c r="M10" i="3"/>
  <c r="P10" i="3"/>
  <c r="D36" i="3"/>
  <c r="D37" i="3"/>
  <c r="D38" i="3"/>
  <c r="D39" i="3"/>
  <c r="D40" i="3"/>
  <c r="D41" i="3"/>
  <c r="D42" i="3" s="1"/>
  <c r="D43" i="3" s="1"/>
  <c r="D32" i="3"/>
  <c r="D33" i="3"/>
  <c r="D34" i="3" s="1"/>
  <c r="D35" i="3" s="1"/>
  <c r="D31" i="3"/>
  <c r="U7" i="3" l="1"/>
  <c r="V7" i="3" s="1"/>
  <c r="I10" i="3"/>
  <c r="H10" i="3"/>
  <c r="E10" i="3" l="1"/>
  <c r="I8" i="3"/>
  <c r="K9" i="3"/>
  <c r="E9" i="3" s="1"/>
  <c r="K10" i="3"/>
  <c r="I7" i="3" l="1"/>
  <c r="J7" i="3" s="1"/>
  <c r="K7" i="3" s="1"/>
  <c r="L7" i="3" s="1"/>
  <c r="M7" i="3" s="1"/>
  <c r="N7" i="3" s="1"/>
  <c r="O7" i="3" s="1"/>
  <c r="P7" i="3" s="1"/>
</calcChain>
</file>

<file path=xl/sharedStrings.xml><?xml version="1.0" encoding="utf-8"?>
<sst xmlns="http://schemas.openxmlformats.org/spreadsheetml/2006/main" count="207" uniqueCount="155">
  <si>
    <t>Cliquez ici deux fois</t>
  </si>
  <si>
    <t>Slide n°</t>
  </si>
  <si>
    <t>Choix 1</t>
  </si>
  <si>
    <t>Choix 2</t>
  </si>
  <si>
    <t>Situation</t>
  </si>
  <si>
    <t>Slide</t>
  </si>
  <si>
    <t>Slidec1</t>
  </si>
  <si>
    <t>Slide c2</t>
  </si>
  <si>
    <t>Slideact</t>
  </si>
  <si>
    <t>Slide -1</t>
  </si>
  <si>
    <t>slide-2</t>
  </si>
  <si>
    <t>En arrivant au lycée, vous voyez la police.</t>
  </si>
  <si>
    <t>Vous préférez ne rien dire et vous allez dans votre salle de cours</t>
  </si>
  <si>
    <t>Vous trouvez une goutte de sang par terre.</t>
  </si>
  <si>
    <t>Après avoir forcé la porte, vous inspectez la maison.</t>
  </si>
  <si>
    <t>Vous tombez sur deux policiers ligotés.</t>
  </si>
  <si>
    <t>Fin 5 : un inconnu cagoulé vous voit courir et vous tire dessus à 3 reprises, vous mourrez donc sans avoir aidez les autres innocents.</t>
  </si>
  <si>
    <t>Un inconnu cagoulé vous frappe à la tête et vous dit de ne plus bouger.</t>
  </si>
  <si>
    <t>C'est votre dernier avertissement.</t>
  </si>
  <si>
    <t>Vous ne faites rien et observez.</t>
  </si>
  <si>
    <t>Vous courrez avec la chaise et tentez de frapper un des inconnus avec celle-ci.</t>
  </si>
  <si>
    <t>Vous ne captez pas, le réseau n'est pas bon dans le désert…</t>
  </si>
  <si>
    <t>En avançant dans le désert vous voyez une cagoule dans le sable.</t>
  </si>
  <si>
    <t>Vous arrivez à le frapper, vous voyez un pistolet sortir de sa poche.</t>
  </si>
  <si>
    <t>FIN</t>
  </si>
  <si>
    <t>Fin 2 : après être rentré dans la maison, la police vous a repéré et vous êtes amené en garde à vue.</t>
  </si>
  <si>
    <t>Vous arrivez donc à esquiver et vous vous battez ensuite.</t>
  </si>
  <si>
    <t xml:space="preserve">FIN </t>
  </si>
  <si>
    <t>Vous partez car vous risquez de faire interpeler</t>
  </si>
  <si>
    <t>Vous restez pour explquer la situation</t>
  </si>
  <si>
    <t>Pensant que Dylan est trop faible, vous courez vers l'autre individu avec votre pistolet à la main</t>
  </si>
  <si>
    <t>Image</t>
  </si>
  <si>
    <t>alcool.jpg</t>
  </si>
  <si>
    <t>Sauvegarde</t>
  </si>
  <si>
    <t>Party_all_night.jpg</t>
  </si>
  <si>
    <t>clock.jpg</t>
  </si>
  <si>
    <t>rue.jpg</t>
  </si>
  <si>
    <t>bedroom.jpg</t>
  </si>
  <si>
    <t>phoneuncall.jpg</t>
  </si>
  <si>
    <t>police.jpg</t>
  </si>
  <si>
    <t>phoneondesk.jpg</t>
  </si>
  <si>
    <t>insidehouse.jpg</t>
  </si>
  <si>
    <t>fin.jpg</t>
  </si>
  <si>
    <t>portecassée.jpg</t>
  </si>
  <si>
    <t>sang.jpg</t>
  </si>
  <si>
    <t>investigation.jpg</t>
  </si>
  <si>
    <t>footstep.jpg</t>
  </si>
  <si>
    <t>phoneonfloor.jpg</t>
  </si>
  <si>
    <t>sallecours.jpg</t>
  </si>
  <si>
    <t>maison.jpg</t>
  </si>
  <si>
    <t>policedesert.jpg</t>
  </si>
  <si>
    <t>mainsligotés.jpg</t>
  </si>
  <si>
    <t>chair.jpg</t>
  </si>
  <si>
    <t>dunesable.jpg</t>
  </si>
  <si>
    <t>liberation.jpg</t>
  </si>
  <si>
    <t>poing.jpg</t>
  </si>
  <si>
    <t>gun.jpg</t>
  </si>
  <si>
    <t>avertissement.jpg</t>
  </si>
  <si>
    <t>pasreseau.jpg</t>
  </si>
  <si>
    <t>cagoule.jpg</t>
  </si>
  <si>
    <t>manrun.jpg</t>
  </si>
  <si>
    <t>gunonsable.jpg</t>
  </si>
  <si>
    <t>mandown.jpg</t>
  </si>
  <si>
    <t>menace.jpg</t>
  </si>
  <si>
    <t>dunederriere.jpg</t>
  </si>
  <si>
    <t>nightdesert.jpg</t>
  </si>
  <si>
    <t>conduit.jpg</t>
  </si>
  <si>
    <t>otage.jpg</t>
  </si>
  <si>
    <t>policearrived.jpg</t>
  </si>
  <si>
    <t>Continuer à faire la fête.</t>
  </si>
  <si>
    <t>Commencer les recherches.</t>
  </si>
  <si>
    <t>Vous continuez à danser.</t>
  </si>
  <si>
    <t>Vous êtes rassuré et vous reprenez la fête.</t>
  </si>
  <si>
    <t>Vous décidez de vous coucher car vous êtes fatigué après ces recherches.</t>
  </si>
  <si>
    <t>Vous l'appelez.</t>
  </si>
  <si>
    <t>Vous avez trop bu vous avez envie de dormir…</t>
  </si>
  <si>
    <t>Dormir.</t>
  </si>
  <si>
    <t>Vous allez à son domicile.</t>
  </si>
  <si>
    <t>Vous décidez donc d'aller en cours.</t>
  </si>
  <si>
    <t>Vous le remarquez mais ne dites rien.</t>
  </si>
  <si>
    <t>Vous prenez le téléphone.</t>
  </si>
  <si>
    <t>Vous entrez par effraction dans la maison.</t>
  </si>
  <si>
    <t>Vous repartez au lycée.</t>
  </si>
  <si>
    <t>Fin 1 : après avoir pris le téléphone, un policier vous voit et vous êtes interpellé pour vol de preuve pour une enquête.</t>
  </si>
  <si>
    <t>Vous restez au rez-de-chaussée.</t>
  </si>
  <si>
    <t>Vous allez à l'étage.</t>
  </si>
  <si>
    <t>Vous sortez de la maison pour voir aux alentours.</t>
  </si>
  <si>
    <t>Vous allez vite prévenir la police.</t>
  </si>
  <si>
    <t>Vous suivez tout de même discrètement la police.</t>
  </si>
  <si>
    <t>En regardant autour de la maison, vous apercevez des traces de pas dans le sable qui mènent vers le désert.</t>
  </si>
  <si>
    <t>Vous décidez d'aller prévenir la police.</t>
  </si>
  <si>
    <t>Vous suivez ces traces de pas.</t>
  </si>
  <si>
    <t>Vous tentez d'appeler la police avec le téléphone.</t>
  </si>
  <si>
    <t>Vous continuez de vous avancer dans le désert.</t>
  </si>
  <si>
    <t>Vous êtes obligé de suivre la police.</t>
  </si>
  <si>
    <t>Vous entrez donc en cours d'informatique, et après 30 min de cours, le proviseur vous demande dans son bureau. Il vous signale que la police souhaite s'entretenir avec vous.</t>
  </si>
  <si>
    <t>Vous attendez dehors.</t>
  </si>
  <si>
    <t>Vous entrez discrètement avec eux;</t>
  </si>
  <si>
    <t>Rentrez chez vous, cela devient trop dangereux. De plus la nuit tombe.</t>
  </si>
  <si>
    <t>Vous suivez les traces de pas dans le sable.</t>
  </si>
  <si>
    <t>Fin 3 :Le lendemain vous écoutez la radio et vous entendez que trois policiers et un adolescent ont été tué dans la nuit.</t>
  </si>
  <si>
    <t>Vous ne faites pas de bruits et vous continuez à suivre les traces de pas.</t>
  </si>
  <si>
    <t>Vous tentez de les libérer.</t>
  </si>
  <si>
    <t>Vous en libérez un, mais un inconnu vous frappe à la tête. Vous vous réveillez attaché sur une chaise.</t>
  </si>
  <si>
    <t>Vous tentez de vous libérer rapidement.</t>
  </si>
  <si>
    <t>Vous ne dites rien et vous observez les alentours.</t>
  </si>
  <si>
    <t>Vous courez vers la dune.</t>
  </si>
  <si>
    <t>Vous êtes discret et faites le tour de la dune.</t>
  </si>
  <si>
    <t>Vous aidez les policiers.</t>
  </si>
  <si>
    <t>Vous partez discrètement.</t>
  </si>
  <si>
    <t>Vous obéissez et vous vous taisez.</t>
  </si>
  <si>
    <t>Vous lui donnez un coup de tête.</t>
  </si>
  <si>
    <t>Discrètement, pendant que vous observez les inconnus cagoulés parlez entre eux, vous vous détachez les mains.</t>
  </si>
  <si>
    <t>Vous courez vous enfuir.</t>
  </si>
  <si>
    <t>Vous frappez un individu cagoulé.</t>
  </si>
  <si>
    <t>Vous arrivez à prendre l'arme de l'indivdu en question, qui est actuellement à terre.</t>
  </si>
  <si>
    <t>Vous le menacez.</t>
  </si>
  <si>
    <t>Vous tirez sur son collègue.</t>
  </si>
  <si>
    <t>Fin 7 : Vous n'avez pas tiré..contrairement au kidnappeur…vous mourez donc en ne sauvant personne.</t>
  </si>
  <si>
    <t>Vous n'allez pas rester là, vous avancez donc dans le désert</t>
  </si>
  <si>
    <t>Vous continuez de marcher.</t>
  </si>
  <si>
    <t>Vous regardez dans les alentours pour vérifier si quelq'un est dans les parages.</t>
  </si>
  <si>
    <t>Vous vous enfoncez dans le désert.</t>
  </si>
  <si>
    <t>Vous n'avez pas regardeé autour, vous entendez quelqu'un courir derrière vous.</t>
  </si>
  <si>
    <t>Vous vous retournez et vous vous baissez pour esquiver.</t>
  </si>
  <si>
    <t>Vous faites exprès de ne rien entendre pour le frapper au visage.</t>
  </si>
  <si>
    <t>Vous courez pour votre vie.</t>
  </si>
  <si>
    <t>Vous prenez le pistolet.</t>
  </si>
  <si>
    <t>Vous lui retirez sa cagoule, et vous l'interrogez.</t>
  </si>
  <si>
    <t>Vous lui tirez dessus.</t>
  </si>
  <si>
    <t>L'individu cagoulé est par terre et lève les mains.</t>
  </si>
  <si>
    <t>Fin 8 : En courant, l'homme cagoulé prend son pistolet et vous tire dessus, vous mourez sur le coup.</t>
  </si>
  <si>
    <t>Vous voyez au loin un homme cagoulé.</t>
  </si>
  <si>
    <t>Vous lui criez dessus.</t>
  </si>
  <si>
    <t>Vous vous cachez pour lui tendre un piège.</t>
  </si>
  <si>
    <t>Le frapper sur le ventre.</t>
  </si>
  <si>
    <t>Le frapper sur le nez.</t>
  </si>
  <si>
    <t>Vous décidez de rentrer chez vous car la nuit tombe.</t>
  </si>
  <si>
    <t>Vous continuez à vous avancez dans le désert malgré la nuit qui tombe.</t>
  </si>
  <si>
    <t>Il vous voit et vous menace avec un pistolet.</t>
  </si>
  <si>
    <t>Vous courrez pour votre vie.</t>
  </si>
  <si>
    <t>Vous le suivez donc .</t>
  </si>
  <si>
    <t>Vous le prenez comme otage.</t>
  </si>
  <si>
    <t>Vous le laissez derrière vous.</t>
  </si>
  <si>
    <t>Vous arrivez donc devant l'autre homme cagoulé mais Dylan vous frappe par derrière et vous vous faites ligoter. En vous réveillant, vous voyez Dylan devant vous avec un pistolet.</t>
  </si>
  <si>
    <t>Vous le tapez avec votre pied.</t>
  </si>
  <si>
    <t>Vous allez donc rapidement prendre Dylan en otage car vous le pensez trop faible pour se défendre.</t>
  </si>
  <si>
    <t>Après l'avoir frappé, Dylan est très enervé, il vous propose un dilemme :</t>
  </si>
  <si>
    <t>Vous préférez mourir.</t>
  </si>
  <si>
    <t>Vous partez et surveillez vous arrière.</t>
  </si>
  <si>
    <t>Vous tirez sur son collègue car il possède une arme.</t>
  </si>
  <si>
    <t>Fin 11 : la police vous interpelle malgré le fait que vous soyez tout deux sains et saufs, vous seul êtes condamné pour homicide.</t>
  </si>
  <si>
    <t>Fin 12 : finalement les deux hommes ne vous tirent pas dessus car la police arrive, vous êtes donc sauvés.</t>
  </si>
  <si>
    <t xml:space="preserve">Personnages : </t>
  </si>
  <si>
    <t>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</si>
</sst>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theme="0"/>
      <name val="Calibri"/>
      <family val="2"/>
      <scheme val="minor"/>
    </font>
    <font>
      <sz val="11"/>
      <color rgb="FFFF0000"/>
      <name val="Calibri"/>
      <family val="2"/>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1">
    <xf numFmtId="0" fontId="0" fillId="0" borderId="0"/>
  </cellStyleXfs>
  <cellXfs count="6">
    <xf numFmtId="0" fontId="0" fillId="0" borderId="0" xfId="0"/>
    <xf numFmtId="0" fontId="1" fillId="2" borderId="0" xfId="0" applyFont="1" applyFill="1"/>
    <xf numFmtId="0" fontId="0" fillId="0" borderId="0" xfId="0" applyAlignment="1">
      <alignment horizontal="center" vertical="center"/>
    </xf>
    <xf numFmtId="0" fontId="0" fillId="0" borderId="0" xfId="0" applyAlignment="1">
      <alignment vertical="top" wrapText="1"/>
    </xf>
    <xf numFmtId="0" fontId="0" fillId="0" borderId="0" xfId="0" applyAlignment="1">
      <alignment wrapText="1"/>
    </xf>
    <xf numFmtId="0" fontId="2"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5</xdr:col>
      <xdr:colOff>304309</xdr:colOff>
      <xdr:row>8</xdr:row>
      <xdr:rowOff>171451</xdr:rowOff>
    </xdr:from>
    <xdr:to>
      <xdr:col>15</xdr:col>
      <xdr:colOff>482995</xdr:colOff>
      <xdr:row>24</xdr:row>
      <xdr:rowOff>95251</xdr:rowOff>
    </xdr:to>
    <xdr:pic>
      <xdr:nvPicPr>
        <xdr:cNvPr id="3" name="titre">
          <a:extLst>
            <a:ext uri="{FF2B5EF4-FFF2-40B4-BE49-F238E27FC236}">
              <a16:creationId xmlns:a16="http://schemas.microsoft.com/office/drawing/2014/main" id="{4655E4C9-AE39-48C6-BF24-BEC40F1E30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14309" y="1695451"/>
          <a:ext cx="8379711" cy="2971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F1104-ED9E-4FEE-AE78-0277924B3480}">
  <sheetPr codeName="Feuil2"/>
  <dimension ref="C1:K28"/>
  <sheetViews>
    <sheetView topLeftCell="A4" workbookViewId="0">
      <selection activeCell="K28" sqref="K28"/>
    </sheetView>
  </sheetViews>
  <sheetFormatPr baseColWidth="10" defaultColWidth="11.44140625" defaultRowHeight="14.4" x14ac:dyDescent="0.3"/>
  <cols>
    <col min="1" max="10" width="11.44140625" style="1"/>
    <col min="11" max="11" width="20.109375" style="1" customWidth="1"/>
    <col min="12" max="16384" width="11.44140625" style="1"/>
  </cols>
  <sheetData>
    <row r="1" spans="3:3" x14ac:dyDescent="0.3">
      <c r="C1" s="1" t="s">
        <v>153</v>
      </c>
    </row>
    <row r="2" spans="3:3" x14ac:dyDescent="0.3">
      <c r="C2" s="1" t="s">
        <v>154</v>
      </c>
    </row>
    <row r="3" spans="3:3" x14ac:dyDescent="0.3">
      <c r="C3" s="1" t="s">
        <v>154</v>
      </c>
    </row>
    <row r="28" spans="11:11" x14ac:dyDescent="0.3">
      <c r="K28" s="1" t="s">
        <v>0</v>
      </c>
    </row>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1FE261-9EF8-41DB-9BF3-CE7CB93346AE}">
  <sheetPr codeName="Feuil1"/>
  <dimension ref="A2:CB99"/>
  <sheetViews>
    <sheetView tabSelected="1" zoomScale="85" zoomScaleNormal="85" workbookViewId="0">
      <selection activeCell="K10" sqref="K10"/>
    </sheetView>
  </sheetViews>
  <sheetFormatPr baseColWidth="10" defaultRowHeight="14.4" x14ac:dyDescent="0.3"/>
  <cols>
    <col min="5" max="5" width="23.33203125" customWidth="1"/>
    <col min="8" max="8" width="23.33203125" customWidth="1"/>
    <col min="9" max="9" width="23.109375" customWidth="1"/>
    <col min="10" max="10" width="23" customWidth="1"/>
    <col min="11" max="11" width="23.33203125" customWidth="1"/>
    <col min="12" max="12" width="23.109375" customWidth="1"/>
    <col min="13" max="14" width="23.33203125" customWidth="1"/>
    <col min="15" max="15" width="23" customWidth="1"/>
    <col min="16" max="33" width="21.5546875" customWidth="1"/>
    <col min="34" max="34" width="23.33203125" customWidth="1"/>
    <col min="35" max="35" width="23.88671875" customWidth="1"/>
    <col min="36" max="36" width="20.109375" customWidth="1"/>
    <col min="37" max="37" width="20.88671875" customWidth="1"/>
    <col min="38" max="38" width="27.44140625" customWidth="1"/>
    <col min="39" max="43" width="31.33203125" customWidth="1"/>
    <col min="44" max="44" width="22.88671875" customWidth="1"/>
    <col min="45" max="45" width="24.6640625" customWidth="1"/>
    <col min="46" max="46" width="25.33203125" customWidth="1"/>
    <col min="47" max="47" width="24.88671875" customWidth="1"/>
    <col min="48" max="48" width="21.33203125" customWidth="1"/>
    <col min="49" max="49" width="25.88671875" customWidth="1"/>
    <col min="50" max="50" width="26.44140625" customWidth="1"/>
    <col min="51" max="51" width="26.5546875" customWidth="1"/>
    <col min="52" max="52" width="27.6640625" customWidth="1"/>
    <col min="53" max="53" width="22.5546875" customWidth="1"/>
    <col min="54" max="54" width="23.44140625" customWidth="1"/>
    <col min="55" max="55" width="18.44140625" customWidth="1"/>
    <col min="56" max="56" width="20.5546875" customWidth="1"/>
    <col min="57" max="57" width="23" customWidth="1"/>
    <col min="58" max="58" width="18.6640625" customWidth="1"/>
    <col min="59" max="59" width="21.5546875" customWidth="1"/>
    <col min="60" max="60" width="21" customWidth="1"/>
    <col min="61" max="61" width="21.5546875" customWidth="1"/>
  </cols>
  <sheetData>
    <row r="2" spans="4:80" x14ac:dyDescent="0.3">
      <c r="D2" t="s">
        <v>33</v>
      </c>
      <c r="E2">
        <v>0</v>
      </c>
    </row>
    <row r="7" spans="4:80" x14ac:dyDescent="0.3">
      <c r="D7" t="s">
        <v>1</v>
      </c>
      <c r="E7">
        <v>0</v>
      </c>
      <c r="G7" t="s">
        <v>1</v>
      </c>
      <c r="H7">
        <v>0</v>
      </c>
      <c r="I7">
        <f>H7+1</f>
        <v>1</v>
      </c>
      <c r="J7">
        <f t="shared" ref="J7:P7" si="0">I7+1</f>
        <v>2</v>
      </c>
      <c r="K7">
        <f t="shared" si="0"/>
        <v>3</v>
      </c>
      <c r="L7">
        <f t="shared" si="0"/>
        <v>4</v>
      </c>
      <c r="M7">
        <f t="shared" si="0"/>
        <v>5</v>
      </c>
      <c r="N7">
        <f>M7+1</f>
        <v>6</v>
      </c>
      <c r="O7">
        <f t="shared" si="0"/>
        <v>7</v>
      </c>
      <c r="P7">
        <f t="shared" si="0"/>
        <v>8</v>
      </c>
      <c r="Q7">
        <f t="shared" ref="Q7" si="1">P7+1</f>
        <v>9</v>
      </c>
      <c r="R7">
        <f t="shared" ref="R7" si="2">Q7+1</f>
        <v>10</v>
      </c>
      <c r="S7">
        <f t="shared" ref="S7" si="3">R7+1</f>
        <v>11</v>
      </c>
      <c r="T7">
        <f t="shared" ref="T7" si="4">S7+1</f>
        <v>12</v>
      </c>
      <c r="U7">
        <f t="shared" ref="U7" si="5">T7+1</f>
        <v>13</v>
      </c>
      <c r="V7">
        <f t="shared" ref="V7" si="6">U7+1</f>
        <v>14</v>
      </c>
      <c r="W7">
        <f t="shared" ref="W7" si="7">V7+1</f>
        <v>15</v>
      </c>
      <c r="X7">
        <f t="shared" ref="X7" si="8">W7+1</f>
        <v>16</v>
      </c>
      <c r="Y7">
        <f t="shared" ref="Y7" si="9">X7+1</f>
        <v>17</v>
      </c>
      <c r="Z7">
        <f t="shared" ref="Z7" si="10">Y7+1</f>
        <v>18</v>
      </c>
      <c r="AA7">
        <f t="shared" ref="AA7" si="11">Z7+1</f>
        <v>19</v>
      </c>
      <c r="AB7">
        <f t="shared" ref="AB7" si="12">AA7+1</f>
        <v>20</v>
      </c>
      <c r="AC7">
        <f t="shared" ref="AC7" si="13">AB7+1</f>
        <v>21</v>
      </c>
      <c r="AD7">
        <f t="shared" ref="AD7" si="14">AC7+1</f>
        <v>22</v>
      </c>
      <c r="AE7">
        <f t="shared" ref="AE7" si="15">AD7+1</f>
        <v>23</v>
      </c>
      <c r="AF7">
        <f t="shared" ref="AF7" si="16">AE7+1</f>
        <v>24</v>
      </c>
      <c r="AG7">
        <f t="shared" ref="AG7" si="17">AF7+1</f>
        <v>25</v>
      </c>
      <c r="AH7">
        <f t="shared" ref="AH7" si="18">AG7+1</f>
        <v>26</v>
      </c>
      <c r="AI7">
        <f t="shared" ref="AI7" si="19">AH7+1</f>
        <v>27</v>
      </c>
      <c r="AJ7">
        <f t="shared" ref="AJ7" si="20">AI7+1</f>
        <v>28</v>
      </c>
      <c r="AK7">
        <f t="shared" ref="AK7" si="21">AJ7+1</f>
        <v>29</v>
      </c>
      <c r="AL7">
        <f t="shared" ref="AL7" si="22">AK7+1</f>
        <v>30</v>
      </c>
      <c r="AM7">
        <f t="shared" ref="AM7" si="23">AL7+1</f>
        <v>31</v>
      </c>
      <c r="AN7">
        <f t="shared" ref="AN7" si="24">AM7+1</f>
        <v>32</v>
      </c>
      <c r="AO7">
        <f t="shared" ref="AO7" si="25">AN7+1</f>
        <v>33</v>
      </c>
      <c r="AP7">
        <f t="shared" ref="AP7" si="26">AO7+1</f>
        <v>34</v>
      </c>
      <c r="AQ7">
        <f t="shared" ref="AQ7" si="27">AP7+1</f>
        <v>35</v>
      </c>
      <c r="AR7">
        <f t="shared" ref="AR7" si="28">AQ7+1</f>
        <v>36</v>
      </c>
      <c r="AS7">
        <f t="shared" ref="AS7" si="29">AR7+1</f>
        <v>37</v>
      </c>
      <c r="AT7">
        <f t="shared" ref="AT7" si="30">AS7+1</f>
        <v>38</v>
      </c>
      <c r="AU7">
        <f t="shared" ref="AU7" si="31">AT7+1</f>
        <v>39</v>
      </c>
      <c r="AV7">
        <f t="shared" ref="AV7" si="32">AU7+1</f>
        <v>40</v>
      </c>
      <c r="AW7">
        <f t="shared" ref="AW7" si="33">AV7+1</f>
        <v>41</v>
      </c>
      <c r="AX7">
        <f t="shared" ref="AX7" si="34">AW7+1</f>
        <v>42</v>
      </c>
      <c r="AY7">
        <f t="shared" ref="AY7" si="35">AX7+1</f>
        <v>43</v>
      </c>
      <c r="AZ7">
        <f t="shared" ref="AZ7" si="36">AY7+1</f>
        <v>44</v>
      </c>
      <c r="BA7">
        <f t="shared" ref="BA7" si="37">AZ7+1</f>
        <v>45</v>
      </c>
      <c r="BB7">
        <f t="shared" ref="BB7" si="38">BA7+1</f>
        <v>46</v>
      </c>
      <c r="BC7">
        <f t="shared" ref="BC7" si="39">BB7+1</f>
        <v>47</v>
      </c>
      <c r="BD7">
        <f t="shared" ref="BD7" si="40">BC7+1</f>
        <v>48</v>
      </c>
      <c r="BE7">
        <f t="shared" ref="BE7" si="41">BD7+1</f>
        <v>49</v>
      </c>
      <c r="BF7">
        <f t="shared" ref="BF7" si="42">BE7+1</f>
        <v>50</v>
      </c>
      <c r="BG7">
        <f t="shared" ref="BG7" si="43">BF7+1</f>
        <v>51</v>
      </c>
      <c r="BH7">
        <f t="shared" ref="BH7" si="44">BG7+1</f>
        <v>52</v>
      </c>
      <c r="BI7">
        <f t="shared" ref="BI7" si="45">BH7+1</f>
        <v>53</v>
      </c>
      <c r="BJ7">
        <f t="shared" ref="BJ7" si="46">BI7+1</f>
        <v>54</v>
      </c>
      <c r="BK7">
        <f t="shared" ref="BK7" si="47">BJ7+1</f>
        <v>55</v>
      </c>
      <c r="BL7">
        <f t="shared" ref="BL7" si="48">BK7+1</f>
        <v>56</v>
      </c>
      <c r="BM7">
        <f t="shared" ref="BM7" si="49">BL7+1</f>
        <v>57</v>
      </c>
      <c r="BN7">
        <f t="shared" ref="BN7" si="50">BM7+1</f>
        <v>58</v>
      </c>
      <c r="BO7">
        <f t="shared" ref="BO7" si="51">BN7+1</f>
        <v>59</v>
      </c>
      <c r="BP7">
        <f t="shared" ref="BP7" si="52">BO7+1</f>
        <v>60</v>
      </c>
      <c r="BQ7">
        <f t="shared" ref="BQ7" si="53">BP7+1</f>
        <v>61</v>
      </c>
      <c r="BR7">
        <f t="shared" ref="BR7" si="54">BQ7+1</f>
        <v>62</v>
      </c>
      <c r="BS7">
        <f t="shared" ref="BS7" si="55">BR7+1</f>
        <v>63</v>
      </c>
      <c r="BT7">
        <f t="shared" ref="BT7" si="56">BS7+1</f>
        <v>64</v>
      </c>
      <c r="BU7">
        <f t="shared" ref="BU7" si="57">BT7+1</f>
        <v>65</v>
      </c>
      <c r="BV7">
        <f t="shared" ref="BV7" si="58">BU7+1</f>
        <v>66</v>
      </c>
      <c r="BW7">
        <f t="shared" ref="BW7" si="59">BV7+1</f>
        <v>67</v>
      </c>
      <c r="BX7">
        <f t="shared" ref="BX7" si="60">BW7+1</f>
        <v>68</v>
      </c>
      <c r="BY7">
        <f t="shared" ref="BY7" si="61">BX7+1</f>
        <v>69</v>
      </c>
      <c r="BZ7">
        <f t="shared" ref="BZ7" si="62">BY7+1</f>
        <v>70</v>
      </c>
      <c r="CA7">
        <f t="shared" ref="CA7" si="63">BZ7+1</f>
        <v>71</v>
      </c>
      <c r="CB7">
        <f t="shared" ref="CB7" si="64">CA7+1</f>
        <v>72</v>
      </c>
    </row>
    <row r="8" spans="4:80" ht="57.6" x14ac:dyDescent="0.3">
      <c r="D8" t="s">
        <v>2</v>
      </c>
      <c r="E8" s="4" t="str">
        <f>HLOOKUP(num,H7:CB10,2,FALSE)</f>
        <v>Continuer à faire la fête.</v>
      </c>
      <c r="G8" t="s">
        <v>2</v>
      </c>
      <c r="H8" t="s">
        <v>69</v>
      </c>
      <c r="I8" s="4" t="str">
        <f>"Vous vous inquiétez et cherchez " &amp;Jeux!C3&amp; "."</f>
        <v>Vous vous inquiétez et cherchez b.</v>
      </c>
      <c r="J8" s="4" t="s">
        <v>72</v>
      </c>
      <c r="K8" t="s">
        <v>74</v>
      </c>
      <c r="L8" t="s">
        <v>76</v>
      </c>
      <c r="M8" s="4" t="s">
        <v>78</v>
      </c>
      <c r="N8" s="4" t="str">
        <f>"Vous allez les prévenir que " &amp;Jeux!C3&amp; " a disparu "</f>
        <v xml:space="preserve">Vous allez les prévenir que b a disparu </v>
      </c>
      <c r="O8" t="s">
        <v>80</v>
      </c>
      <c r="P8" t="s">
        <v>82</v>
      </c>
      <c r="Q8" s="4" t="s">
        <v>24</v>
      </c>
      <c r="R8" s="4" t="s">
        <v>85</v>
      </c>
      <c r="S8" s="4" t="s">
        <v>87</v>
      </c>
      <c r="T8" s="4" t="s">
        <v>88</v>
      </c>
      <c r="U8" s="4" t="s">
        <v>91</v>
      </c>
      <c r="V8" s="4" t="s">
        <v>93</v>
      </c>
      <c r="W8" s="4" t="s">
        <v>94</v>
      </c>
      <c r="X8" s="4" t="s">
        <v>97</v>
      </c>
      <c r="Y8" s="4" t="s">
        <v>24</v>
      </c>
      <c r="Z8" s="4" t="s">
        <v>98</v>
      </c>
      <c r="AA8" s="4" t="s">
        <v>24</v>
      </c>
      <c r="AB8" s="4" t="s">
        <v>102</v>
      </c>
      <c r="AC8" s="4" t="s">
        <v>105</v>
      </c>
      <c r="AD8" s="4" t="s">
        <v>107</v>
      </c>
      <c r="AE8" s="4" t="s">
        <v>108</v>
      </c>
      <c r="AF8" s="4" t="s">
        <v>24</v>
      </c>
      <c r="AG8" s="4" t="s">
        <v>24</v>
      </c>
      <c r="AH8" s="4" t="s">
        <v>111</v>
      </c>
      <c r="AI8" s="4" t="s">
        <v>114</v>
      </c>
      <c r="AJ8" s="4" t="s">
        <v>117</v>
      </c>
      <c r="AK8" s="4" t="s">
        <v>24</v>
      </c>
      <c r="AL8" s="4" t="s">
        <v>24</v>
      </c>
      <c r="AM8" s="4" t="s">
        <v>19</v>
      </c>
      <c r="AN8" s="4" t="s">
        <v>120</v>
      </c>
      <c r="AO8" s="4" t="s">
        <v>122</v>
      </c>
      <c r="AP8" s="4" t="s">
        <v>125</v>
      </c>
      <c r="AQ8" s="4" t="s">
        <v>127</v>
      </c>
      <c r="AR8" s="4" t="s">
        <v>128</v>
      </c>
      <c r="AS8" s="4" t="str">
        <f>"Vous lui demandez de vous conduir jusqu'à "&amp;Jeux!C3&amp; "."</f>
        <v>Vous lui demandez de vous conduir jusqu'à b.</v>
      </c>
      <c r="AT8" s="4" t="s">
        <v>24</v>
      </c>
      <c r="AU8" s="4" t="s">
        <v>134</v>
      </c>
      <c r="AV8" s="4" t="s">
        <v>136</v>
      </c>
      <c r="AW8" s="4" t="s">
        <v>138</v>
      </c>
      <c r="AX8" s="4" t="s">
        <v>141</v>
      </c>
      <c r="AY8" s="4" t="s">
        <v>143</v>
      </c>
      <c r="AZ8" s="4" t="s">
        <v>145</v>
      </c>
      <c r="BA8" s="4" t="s">
        <v>30</v>
      </c>
      <c r="BB8" t="str">
        <f>"Vous préférez qu'il tue "&amp;Jeux!C3&amp; "."</f>
        <v>Vous préférez qu'il tue b.</v>
      </c>
      <c r="BC8" t="s">
        <v>27</v>
      </c>
      <c r="BD8" s="4" t="s">
        <v>150</v>
      </c>
      <c r="BE8" s="4" t="s">
        <v>28</v>
      </c>
      <c r="BF8" t="s">
        <v>24</v>
      </c>
      <c r="BG8" t="s">
        <v>24</v>
      </c>
      <c r="BH8" t="s">
        <v>27</v>
      </c>
      <c r="BI8" t="s">
        <v>24</v>
      </c>
    </row>
    <row r="9" spans="4:80" ht="72" x14ac:dyDescent="0.3">
      <c r="D9" t="s">
        <v>3</v>
      </c>
      <c r="E9" s="4" t="str">
        <f>HLOOKUP(num,H7:CB10,3,FALSE)</f>
        <v>Commencer les recherches.</v>
      </c>
      <c r="G9" t="s">
        <v>3</v>
      </c>
      <c r="H9" t="s">
        <v>70</v>
      </c>
      <c r="I9" t="s">
        <v>71</v>
      </c>
      <c r="J9" s="4" t="s">
        <v>73</v>
      </c>
      <c r="K9" s="4" t="str">
        <f>"Vous allez en cours dans l'espoir de croiser " &amp;Jeux!C3&amp; "."</f>
        <v>Vous allez en cours dans l'espoir de croiser b.</v>
      </c>
      <c r="L9" t="s">
        <v>76</v>
      </c>
      <c r="M9" t="s">
        <v>77</v>
      </c>
      <c r="N9" s="4" t="s">
        <v>12</v>
      </c>
      <c r="O9" s="4" t="s">
        <v>79</v>
      </c>
      <c r="P9" s="4" t="s">
        <v>81</v>
      </c>
      <c r="Q9" s="4" t="s">
        <v>24</v>
      </c>
      <c r="R9" s="4" t="s">
        <v>84</v>
      </c>
      <c r="S9" s="4" t="s">
        <v>86</v>
      </c>
      <c r="T9" s="4" t="str">
        <f>"Vous décidez donc d'aller tout seul chez " &amp;Jeux!C3&amp; "."</f>
        <v>Vous décidez donc d'aller tout seul chez b.</v>
      </c>
      <c r="U9" s="4" t="s">
        <v>90</v>
      </c>
      <c r="V9" s="4" t="s">
        <v>92</v>
      </c>
      <c r="W9" s="4" t="s">
        <v>94</v>
      </c>
      <c r="X9" t="s">
        <v>96</v>
      </c>
      <c r="Y9" s="4" t="s">
        <v>24</v>
      </c>
      <c r="Z9" s="4" t="s">
        <v>99</v>
      </c>
      <c r="AA9" s="4" t="s">
        <v>24</v>
      </c>
      <c r="AB9" s="4" t="s">
        <v>101</v>
      </c>
      <c r="AC9" s="4" t="s">
        <v>104</v>
      </c>
      <c r="AD9" s="4" t="s">
        <v>106</v>
      </c>
      <c r="AE9" s="4" t="s">
        <v>109</v>
      </c>
      <c r="AF9" s="4" t="s">
        <v>24</v>
      </c>
      <c r="AG9" s="4" t="s">
        <v>24</v>
      </c>
      <c r="AH9" s="4" t="s">
        <v>110</v>
      </c>
      <c r="AI9" s="4" t="s">
        <v>113</v>
      </c>
      <c r="AJ9" s="4" t="s">
        <v>116</v>
      </c>
      <c r="AK9" s="4" t="s">
        <v>24</v>
      </c>
      <c r="AL9" s="4" t="s">
        <v>24</v>
      </c>
      <c r="AM9" s="4" t="s">
        <v>20</v>
      </c>
      <c r="AN9" s="4" t="s">
        <v>119</v>
      </c>
      <c r="AO9" s="4" t="s">
        <v>121</v>
      </c>
      <c r="AP9" s="4" t="s">
        <v>124</v>
      </c>
      <c r="AQ9" s="4" t="s">
        <v>126</v>
      </c>
      <c r="AR9" s="4" t="s">
        <v>129</v>
      </c>
      <c r="AS9" s="4" t="s">
        <v>129</v>
      </c>
      <c r="AT9" t="s">
        <v>24</v>
      </c>
      <c r="AU9" s="4" t="s">
        <v>133</v>
      </c>
      <c r="AV9" s="4" t="s">
        <v>135</v>
      </c>
      <c r="AW9" s="4" t="s">
        <v>137</v>
      </c>
      <c r="AX9" s="4" t="s">
        <v>140</v>
      </c>
      <c r="AY9" s="4" t="s">
        <v>142</v>
      </c>
      <c r="AZ9" s="4" t="s">
        <v>111</v>
      </c>
      <c r="BA9" s="4" t="s">
        <v>146</v>
      </c>
      <c r="BB9" t="s">
        <v>148</v>
      </c>
      <c r="BC9" s="4" t="s">
        <v>24</v>
      </c>
      <c r="BD9" s="4" t="s">
        <v>149</v>
      </c>
      <c r="BE9" s="4" t="s">
        <v>29</v>
      </c>
      <c r="BF9" s="4" t="s">
        <v>27</v>
      </c>
      <c r="BG9" s="4" t="s">
        <v>24</v>
      </c>
      <c r="BH9" s="4" t="s">
        <v>24</v>
      </c>
      <c r="BI9" s="4" t="s">
        <v>24</v>
      </c>
    </row>
    <row r="10" spans="4:80" ht="138" customHeight="1" x14ac:dyDescent="0.3">
      <c r="D10" s="2" t="s">
        <v>4</v>
      </c>
      <c r="E10" s="4" t="str">
        <f>HLOOKUP(num,H7:CB10,4,FALSE)</f>
        <v>Lors de la soirée, vous remarquez qu'il manque b.</v>
      </c>
      <c r="G10" s="2" t="s">
        <v>4</v>
      </c>
      <c r="H10" s="3" t="str">
        <f>"Lors de la soirée, vous remarquez qu'il manque " &amp; Jeux!C3 &amp;  "."</f>
        <v>Lors de la soirée, vous remarquez qu'il manque b.</v>
      </c>
      <c r="I10" s="4" t="str">
        <f xml:space="preserve"> "Cela fait 1 heure que vous avez pas vue "&amp; Jeux!C3 &amp; "! "</f>
        <v xml:space="preserve">Cela fait 1 heure que vous avez pas vue b! </v>
      </c>
      <c r="J10" s="4" t="str">
        <f>"Vous croisez une amie, et vous lui demandez si elle a pas vue  " &amp; Jeux!C3 &amp;  ". Elle vous répond que  " &amp; Jeux!C3 &amp;  " est rentré. "</f>
        <v xml:space="preserve">Vous croisez une amie, et vous lui demandez si elle a pas vue  b. Elle vous répond que  b est rentré. </v>
      </c>
      <c r="K10" s="4" t="str">
        <f>"C'est le lendemain et vous avez toujours aucune nouvelle de " &amp;Jeux!C3&amp; "."</f>
        <v>C'est le lendemain et vous avez toujours aucune nouvelle de b.</v>
      </c>
      <c r="L10" s="4" t="s">
        <v>75</v>
      </c>
      <c r="M10" s="4" t="str">
        <f>""&amp;Jeux!C3&amp;" ne répond toujours pas."</f>
        <v>b ne répond toujours pas.</v>
      </c>
      <c r="N10" s="4" t="s">
        <v>11</v>
      </c>
      <c r="O10" s="4" t="str">
        <f>"Après avoir signalé que "&amp;Jeux!C3&amp; " avait disparu, la police vous fait venir au commissariat. Vous trouvez le téléphone de "&amp;Jeux!C3&amp; " sur une des tables du commissariat."</f>
        <v>Après avoir signalé que b avait disparu, la police vous fait venir au commissariat. Vous trouvez le téléphone de b sur une des tables du commissariat.</v>
      </c>
      <c r="P10" s="4" t="str">
        <f>"Vous remarquez qu'il n'y a personne chez "&amp;Jeux!C3&amp;"."</f>
        <v>Vous remarquez qu'il n'y a personne chez b.</v>
      </c>
      <c r="Q10" s="4" t="s">
        <v>83</v>
      </c>
      <c r="R10" s="4" t="s">
        <v>14</v>
      </c>
      <c r="S10" s="4" t="s">
        <v>13</v>
      </c>
      <c r="T10" s="4" t="str">
        <f>"La police décide donc d'enquêtez rapidement sur la disparition de " &amp;Jeux!C3&amp; " et vous suivez donc la police dans son enquête mais celle-ci refuse votre présence."</f>
        <v>La police décide donc d'enquêtez rapidement sur la disparition de b et vous suivez donc la police dans son enquête mais celle-ci refuse votre présence.</v>
      </c>
      <c r="U10" s="4" t="s">
        <v>89</v>
      </c>
      <c r="V10" s="4" t="str">
        <f>"Au bout de 30 minutes de marche, vous vous enfoncez dans le désert et vous trouvez le téléphone de " &amp; Jeux!C3 &amp;". Vous le prenez."</f>
        <v>Au bout de 30 minutes de marche, vous vous enfoncez dans le désert et vous trouvez le téléphone de b. Vous le prenez.</v>
      </c>
      <c r="W10" s="4" t="s">
        <v>95</v>
      </c>
      <c r="X10" s="4" t="str">
        <f>" Après les avoir suivi pendant environ 15 minutes, vous arrivez devant la maison de  "&amp;Jeux!C3&amp;"."</f>
        <v xml:space="preserve"> Après les avoir suivi pendant environ 15 minutes, vous arrivez devant la maison de  b.</v>
      </c>
      <c r="Y10" s="4" t="s">
        <v>25</v>
      </c>
      <c r="Z10" s="4" t="str">
        <f>"La police se dirige vers le désert, vous les suivez discrètement mais vous êtes plus lent, vous arrivez sur les lieux et les voitures de polices sont vides et vous prenez le téléphone de "&amp;Jeux!C3 &amp; "."</f>
        <v>La police se dirige vers le désert, vous les suivez discrètement mais vous êtes plus lent, vous arrivez sur les lieux et les voitures de polices sont vides et vous prenez le téléphone de b.</v>
      </c>
      <c r="AA10" s="4" t="s">
        <v>100</v>
      </c>
      <c r="AB10" s="4" t="s">
        <v>15</v>
      </c>
      <c r="AC10" s="4" t="s">
        <v>103</v>
      </c>
      <c r="AD10" s="4" t="str">
        <f>"Vous voyez " &amp;Jeux!C3&amp; " attaché et un policier à terre sur un petite dune de sable."</f>
        <v>Vous voyez b attaché et un policier à terre sur un petite dune de sable.</v>
      </c>
      <c r="AE10" s="4" t="str">
        <f>"Vous libérez "&amp;Jeux!C3&amp; "."</f>
        <v>Vous libérez b.</v>
      </c>
      <c r="AF10" s="4" t="str">
        <f>"Fin 4 : Vous avez libéré "&amp;Jeux!C3&amp; " mais le lendemain, à la radio, vous entendez que 3 policiers ont été torturé et tué durant la nuit."</f>
        <v>Fin 4 : Vous avez libéré b mais le lendemain, à la radio, vous entendez que 3 policiers ont été torturé et tué durant la nuit.</v>
      </c>
      <c r="AG10" s="4" t="s">
        <v>16</v>
      </c>
      <c r="AH10" s="4" t="s">
        <v>17</v>
      </c>
      <c r="AI10" s="4" t="s">
        <v>112</v>
      </c>
      <c r="AJ10" s="4" t="s">
        <v>115</v>
      </c>
      <c r="AK10" s="4" t="str">
        <f>"Fin 6 : Vous avez tué l'autre individu cagoulé: vous pouvez donc sauver tout le monde y compris " &amp;Jeux!C3&amp; "!"</f>
        <v>Fin 6 : Vous avez tué l'autre individu cagoulé: vous pouvez donc sauver tout le monde y compris b!</v>
      </c>
      <c r="AL10" s="4" t="s">
        <v>118</v>
      </c>
      <c r="AM10" s="4" t="s">
        <v>18</v>
      </c>
      <c r="AN10" s="4" t="s">
        <v>21</v>
      </c>
      <c r="AO10" s="4" t="s">
        <v>22</v>
      </c>
      <c r="AP10" s="4" t="s">
        <v>123</v>
      </c>
      <c r="AQ10" s="4" t="s">
        <v>23</v>
      </c>
      <c r="AR10" s="4" t="s">
        <v>130</v>
      </c>
      <c r="AS10" s="4" t="str">
        <f>"Il vous dit qu'il s'appelle Dylan et que "&amp;Jeux!C3&amp; "n'est pas très loin."</f>
        <v>Il vous dit qu'il s'appelle Dylan et que bn'est pas très loin.</v>
      </c>
      <c r="AT10" s="4" t="s">
        <v>131</v>
      </c>
      <c r="AU10" s="4" t="s">
        <v>132</v>
      </c>
      <c r="AV10" s="4" t="s">
        <v>26</v>
      </c>
      <c r="AW10" s="4" t="str">
        <f>"Après lui avoir tiré dessus, vous repartez en quête de sauver  "&amp;Jeux!C3&amp; "."</f>
        <v>Après lui avoir tiré dessus, vous repartez en quête de sauver  b.</v>
      </c>
      <c r="AX10" s="4" t="s">
        <v>139</v>
      </c>
      <c r="AY10" s="4" t="str">
        <f>"Dylan vous conduit donc jusqu'à "&amp;Jeux!C3&amp; " et vous voyez un autre homme cagoulé."</f>
        <v>Dylan vous conduit donc jusqu'à b et vous voyez un autre homme cagoulé.</v>
      </c>
      <c r="AZ10" s="4" t="s">
        <v>144</v>
      </c>
      <c r="BA10" s="4" t="str">
        <f>"Vous voyez au loin une dune de sable, vous avancez donc voir. Vous remarquez " &amp;Jeux!C3&amp; " ainsi qu'un autre homme cagoulé. Mais vous entendez Dylan derrière qui vous suit."</f>
        <v>Vous voyez au loin une dune de sable, vous avancez donc voir. Vous remarquez b ainsi qu'un autre homme cagoulé. Mais vous entendez Dylan derrière qui vous suit.</v>
      </c>
      <c r="BB10" s="4" t="s">
        <v>147</v>
      </c>
      <c r="BC10" s="4" t="str">
        <f>"Fin 9 : Vous mourez donc en héro, mais comment savoir si " &amp;Jeux!C3&amp; "sera épargné…"</f>
        <v>Fin 9 : Vous mourez donc en héro, mais comment savoir si bsera épargné…</v>
      </c>
      <c r="BD10" s="4" t="str">
        <f>"Avec Dylan comme otage, vous négociez un échange avec  "&amp;Jeux!C3&amp; " mais l'autre individu semble assez enervé."</f>
        <v>Avec Dylan comme otage, vous négociez un échange avec  b mais l'autre individu semble assez enervé.</v>
      </c>
      <c r="BE10" s="4" t="str">
        <f>"Vous lui tirez dessus et Dylan vous saute dessus, s'enchaine un combat à main nue mais "&amp;Jeux!C3&amp; " vous aide et finalement Dylan se retrouve à terre, vous entendez la police arriver."</f>
        <v>Vous lui tirez dessus et Dylan vous saute dessus, s'enchaine un combat à main nue mais b vous aide et finalement Dylan se retrouve à terre, vous entendez la police arriver.</v>
      </c>
      <c r="BF10" s="4" t="str">
        <f>"Fin 10 : Vous partez donc dans le désert sain et sauf et vous rentrez enfin chez vous avec "&amp;Jeux!C3&amp; "."</f>
        <v>Fin 10 : Vous partez donc dans le désert sain et sauf et vous rentrez enfin chez vous avec b.</v>
      </c>
      <c r="BG10" s="4" t="s">
        <v>151</v>
      </c>
      <c r="BH10" s="4" t="s">
        <v>152</v>
      </c>
      <c r="BI10" s="4" t="str">
        <f>"Fin 13 : La police n'était non loin et entend un coup de feu, ils arrivent rapidement sur les lieux et vous sauve, mais "&amp;Jeux!C3&amp; " est malheuresement mort…"</f>
        <v>Fin 13 : La police n'était non loin et entend un coup de feu, ils arrivent rapidement sur les lieux et vous sauve, mais b est malheuresement mort…</v>
      </c>
    </row>
    <row r="11" spans="4:80" x14ac:dyDescent="0.3">
      <c r="D11" t="s">
        <v>31</v>
      </c>
      <c r="E11" t="str">
        <f>HLOOKUP(num,H7:CB11,5,FALSE)</f>
        <v>Party_all_night.jpg</v>
      </c>
      <c r="G11" t="s">
        <v>31</v>
      </c>
      <c r="H11" t="s">
        <v>34</v>
      </c>
      <c r="I11" t="s">
        <v>35</v>
      </c>
      <c r="J11" t="s">
        <v>36</v>
      </c>
      <c r="K11" t="s">
        <v>37</v>
      </c>
      <c r="L11" t="s">
        <v>32</v>
      </c>
      <c r="M11" t="s">
        <v>38</v>
      </c>
      <c r="N11" t="s">
        <v>39</v>
      </c>
      <c r="O11" t="s">
        <v>40</v>
      </c>
      <c r="P11" t="s">
        <v>41</v>
      </c>
      <c r="Q11" t="s">
        <v>42</v>
      </c>
      <c r="R11" t="s">
        <v>43</v>
      </c>
      <c r="S11" t="s">
        <v>44</v>
      </c>
      <c r="T11" t="s">
        <v>45</v>
      </c>
      <c r="U11" t="s">
        <v>46</v>
      </c>
      <c r="V11" t="s">
        <v>47</v>
      </c>
      <c r="W11" t="s">
        <v>48</v>
      </c>
      <c r="X11" t="s">
        <v>49</v>
      </c>
      <c r="Y11" t="s">
        <v>42</v>
      </c>
      <c r="Z11" s="4" t="s">
        <v>50</v>
      </c>
      <c r="AA11" t="s">
        <v>42</v>
      </c>
      <c r="AB11" t="s">
        <v>51</v>
      </c>
      <c r="AC11" t="s">
        <v>52</v>
      </c>
      <c r="AD11" t="s">
        <v>53</v>
      </c>
      <c r="AE11" t="s">
        <v>54</v>
      </c>
      <c r="AF11" t="s">
        <v>42</v>
      </c>
      <c r="AG11" t="s">
        <v>42</v>
      </c>
      <c r="AH11" s="4" t="s">
        <v>55</v>
      </c>
      <c r="AI11" t="s">
        <v>54</v>
      </c>
      <c r="AJ11" t="s">
        <v>56</v>
      </c>
      <c r="AK11" t="s">
        <v>42</v>
      </c>
      <c r="AL11" t="s">
        <v>42</v>
      </c>
      <c r="AM11" t="s">
        <v>57</v>
      </c>
      <c r="AN11" t="s">
        <v>58</v>
      </c>
      <c r="AO11" t="s">
        <v>59</v>
      </c>
      <c r="AP11" t="s">
        <v>60</v>
      </c>
      <c r="AQ11" t="s">
        <v>61</v>
      </c>
      <c r="AR11" t="s">
        <v>62</v>
      </c>
      <c r="AS11" t="s">
        <v>63</v>
      </c>
      <c r="AT11" t="s">
        <v>42</v>
      </c>
      <c r="AU11" t="s">
        <v>64</v>
      </c>
      <c r="AV11" t="s">
        <v>55</v>
      </c>
      <c r="AW11" t="s">
        <v>65</v>
      </c>
      <c r="AX11" t="s">
        <v>56</v>
      </c>
      <c r="AY11" t="s">
        <v>66</v>
      </c>
      <c r="AZ11" t="s">
        <v>55</v>
      </c>
      <c r="BA11" t="s">
        <v>64</v>
      </c>
      <c r="BB11" t="s">
        <v>56</v>
      </c>
      <c r="BC11" t="s">
        <v>42</v>
      </c>
      <c r="BD11" t="s">
        <v>67</v>
      </c>
      <c r="BE11" t="s">
        <v>68</v>
      </c>
      <c r="BF11" t="s">
        <v>42</v>
      </c>
      <c r="BG11" t="s">
        <v>42</v>
      </c>
      <c r="BH11" t="s">
        <v>42</v>
      </c>
      <c r="BI11" t="s">
        <v>42</v>
      </c>
    </row>
    <row r="12" spans="4:80" x14ac:dyDescent="0.3">
      <c r="O12" s="4"/>
    </row>
    <row r="18" spans="1:10" x14ac:dyDescent="0.3">
      <c r="A18" s="5"/>
      <c r="D18" t="s">
        <v>5</v>
      </c>
      <c r="E18" t="s">
        <v>6</v>
      </c>
      <c r="F18" t="s">
        <v>7</v>
      </c>
      <c r="H18" t="s">
        <v>8</v>
      </c>
      <c r="I18" t="s">
        <v>9</v>
      </c>
      <c r="J18" t="s">
        <v>10</v>
      </c>
    </row>
    <row r="19" spans="1:10" x14ac:dyDescent="0.3">
      <c r="D19">
        <v>0</v>
      </c>
      <c r="E19">
        <v>1</v>
      </c>
      <c r="F19">
        <v>2</v>
      </c>
      <c r="H19">
        <v>0</v>
      </c>
      <c r="I19">
        <f>VLOOKUP(H19,D19:F98,2,FALSE)</f>
        <v>1</v>
      </c>
      <c r="J19">
        <f>VLOOKUP(H19,D19:F98,3,FALSE)</f>
        <v>2</v>
      </c>
    </row>
    <row r="20" spans="1:10" x14ac:dyDescent="0.3">
      <c r="D20">
        <v>1</v>
      </c>
      <c r="E20">
        <v>2</v>
      </c>
      <c r="F20">
        <v>4</v>
      </c>
    </row>
    <row r="21" spans="1:10" x14ac:dyDescent="0.3">
      <c r="D21">
        <v>2</v>
      </c>
      <c r="E21">
        <v>4</v>
      </c>
      <c r="F21">
        <v>3</v>
      </c>
    </row>
    <row r="22" spans="1:10" x14ac:dyDescent="0.3">
      <c r="D22">
        <v>3</v>
      </c>
      <c r="E22">
        <v>5</v>
      </c>
      <c r="F22">
        <v>6</v>
      </c>
    </row>
    <row r="23" spans="1:10" x14ac:dyDescent="0.3">
      <c r="D23">
        <v>4</v>
      </c>
      <c r="E23">
        <v>3</v>
      </c>
      <c r="F23">
        <v>3</v>
      </c>
    </row>
    <row r="24" spans="1:10" x14ac:dyDescent="0.3">
      <c r="D24">
        <v>5</v>
      </c>
      <c r="E24">
        <v>6</v>
      </c>
      <c r="F24">
        <v>8</v>
      </c>
    </row>
    <row r="25" spans="1:10" x14ac:dyDescent="0.3">
      <c r="D25">
        <v>6</v>
      </c>
      <c r="E25">
        <v>7</v>
      </c>
      <c r="F25">
        <v>15</v>
      </c>
    </row>
    <row r="26" spans="1:10" x14ac:dyDescent="0.3">
      <c r="D26">
        <v>7</v>
      </c>
      <c r="E26">
        <v>9</v>
      </c>
      <c r="F26">
        <v>12</v>
      </c>
    </row>
    <row r="27" spans="1:10" x14ac:dyDescent="0.3">
      <c r="D27">
        <v>8</v>
      </c>
      <c r="E27">
        <v>6</v>
      </c>
      <c r="F27">
        <v>10</v>
      </c>
    </row>
    <row r="28" spans="1:10" x14ac:dyDescent="0.3">
      <c r="D28">
        <v>9</v>
      </c>
      <c r="E28">
        <v>7</v>
      </c>
      <c r="F28">
        <v>0</v>
      </c>
    </row>
    <row r="29" spans="1:10" x14ac:dyDescent="0.3">
      <c r="D29">
        <v>10</v>
      </c>
      <c r="E29">
        <v>11</v>
      </c>
      <c r="F29">
        <v>11</v>
      </c>
    </row>
    <row r="30" spans="1:10" x14ac:dyDescent="0.3">
      <c r="D30">
        <v>11</v>
      </c>
      <c r="E30">
        <v>18</v>
      </c>
      <c r="F30">
        <v>13</v>
      </c>
    </row>
    <row r="31" spans="1:10" x14ac:dyDescent="0.3">
      <c r="D31">
        <f>D30+1</f>
        <v>12</v>
      </c>
      <c r="E31">
        <v>16</v>
      </c>
      <c r="F31">
        <v>10</v>
      </c>
    </row>
    <row r="32" spans="1:10" x14ac:dyDescent="0.3">
      <c r="D32">
        <f t="shared" ref="D32:D95" si="65">D31+1</f>
        <v>13</v>
      </c>
      <c r="E32">
        <v>14</v>
      </c>
      <c r="F32">
        <v>18</v>
      </c>
    </row>
    <row r="33" spans="4:6" x14ac:dyDescent="0.3">
      <c r="D33">
        <f t="shared" si="65"/>
        <v>14</v>
      </c>
      <c r="E33">
        <v>33</v>
      </c>
      <c r="F33">
        <v>32</v>
      </c>
    </row>
    <row r="34" spans="4:6" x14ac:dyDescent="0.3">
      <c r="D34">
        <f t="shared" si="65"/>
        <v>15</v>
      </c>
      <c r="E34">
        <v>7</v>
      </c>
      <c r="F34">
        <v>7</v>
      </c>
    </row>
    <row r="35" spans="4:6" x14ac:dyDescent="0.3">
      <c r="D35">
        <f t="shared" si="65"/>
        <v>16</v>
      </c>
      <c r="E35">
        <v>17</v>
      </c>
      <c r="F35">
        <v>18</v>
      </c>
    </row>
    <row r="36" spans="4:6" x14ac:dyDescent="0.3">
      <c r="D36">
        <f t="shared" si="65"/>
        <v>17</v>
      </c>
      <c r="E36">
        <v>12</v>
      </c>
      <c r="F36">
        <v>0</v>
      </c>
    </row>
    <row r="37" spans="4:6" x14ac:dyDescent="0.3">
      <c r="D37">
        <f t="shared" si="65"/>
        <v>18</v>
      </c>
      <c r="E37">
        <v>19</v>
      </c>
      <c r="F37">
        <v>20</v>
      </c>
    </row>
    <row r="38" spans="4:6" x14ac:dyDescent="0.3">
      <c r="D38">
        <f t="shared" si="65"/>
        <v>19</v>
      </c>
      <c r="E38">
        <v>12</v>
      </c>
      <c r="F38">
        <v>0</v>
      </c>
    </row>
    <row r="39" spans="4:6" x14ac:dyDescent="0.3">
      <c r="D39">
        <f t="shared" si="65"/>
        <v>20</v>
      </c>
      <c r="E39">
        <v>21</v>
      </c>
      <c r="F39">
        <v>22</v>
      </c>
    </row>
    <row r="40" spans="4:6" x14ac:dyDescent="0.3">
      <c r="D40">
        <f t="shared" si="65"/>
        <v>21</v>
      </c>
      <c r="E40">
        <v>27</v>
      </c>
      <c r="F40">
        <v>26</v>
      </c>
    </row>
    <row r="41" spans="4:6" x14ac:dyDescent="0.3">
      <c r="D41">
        <f t="shared" si="65"/>
        <v>22</v>
      </c>
      <c r="E41">
        <v>23</v>
      </c>
      <c r="F41">
        <v>25</v>
      </c>
    </row>
    <row r="42" spans="4:6" x14ac:dyDescent="0.3">
      <c r="D42">
        <f t="shared" si="65"/>
        <v>23</v>
      </c>
      <c r="E42">
        <v>21</v>
      </c>
      <c r="F42">
        <v>24</v>
      </c>
    </row>
    <row r="43" spans="4:6" x14ac:dyDescent="0.3">
      <c r="D43">
        <f t="shared" si="65"/>
        <v>24</v>
      </c>
      <c r="E43">
        <v>20</v>
      </c>
      <c r="F43">
        <v>0</v>
      </c>
    </row>
    <row r="44" spans="4:6" x14ac:dyDescent="0.3">
      <c r="D44">
        <f t="shared" si="65"/>
        <v>25</v>
      </c>
      <c r="E44">
        <v>20</v>
      </c>
      <c r="F44">
        <v>0</v>
      </c>
    </row>
    <row r="45" spans="4:6" x14ac:dyDescent="0.3">
      <c r="D45">
        <f t="shared" si="65"/>
        <v>26</v>
      </c>
      <c r="E45">
        <v>31</v>
      </c>
      <c r="F45">
        <v>27</v>
      </c>
    </row>
    <row r="46" spans="4:6" x14ac:dyDescent="0.3">
      <c r="D46">
        <f t="shared" si="65"/>
        <v>27</v>
      </c>
      <c r="E46">
        <v>28</v>
      </c>
      <c r="F46">
        <v>25</v>
      </c>
    </row>
    <row r="47" spans="4:6" x14ac:dyDescent="0.3">
      <c r="D47">
        <f t="shared" si="65"/>
        <v>28</v>
      </c>
      <c r="E47">
        <v>29</v>
      </c>
      <c r="F47">
        <v>30</v>
      </c>
    </row>
    <row r="48" spans="4:6" x14ac:dyDescent="0.3">
      <c r="D48">
        <f t="shared" si="65"/>
        <v>29</v>
      </c>
      <c r="E48">
        <v>20</v>
      </c>
      <c r="F48">
        <v>0</v>
      </c>
    </row>
    <row r="49" spans="4:6" x14ac:dyDescent="0.3">
      <c r="D49">
        <f t="shared" si="65"/>
        <v>30</v>
      </c>
      <c r="E49">
        <v>20</v>
      </c>
      <c r="F49">
        <v>0</v>
      </c>
    </row>
    <row r="50" spans="4:6" x14ac:dyDescent="0.3">
      <c r="D50">
        <f t="shared" si="65"/>
        <v>31</v>
      </c>
      <c r="E50">
        <v>27</v>
      </c>
      <c r="F50">
        <v>25</v>
      </c>
    </row>
    <row r="51" spans="4:6" x14ac:dyDescent="0.3">
      <c r="D51">
        <f t="shared" si="65"/>
        <v>32</v>
      </c>
      <c r="E51">
        <v>33</v>
      </c>
      <c r="F51">
        <v>33</v>
      </c>
    </row>
    <row r="52" spans="4:6" x14ac:dyDescent="0.3">
      <c r="D52">
        <f t="shared" si="65"/>
        <v>33</v>
      </c>
      <c r="E52">
        <v>34</v>
      </c>
      <c r="F52">
        <v>39</v>
      </c>
    </row>
    <row r="53" spans="4:6" x14ac:dyDescent="0.3">
      <c r="D53">
        <f t="shared" si="65"/>
        <v>34</v>
      </c>
      <c r="E53">
        <v>35</v>
      </c>
      <c r="F53">
        <v>40</v>
      </c>
    </row>
    <row r="54" spans="4:6" x14ac:dyDescent="0.3">
      <c r="D54">
        <f t="shared" si="65"/>
        <v>35</v>
      </c>
      <c r="E54">
        <v>36</v>
      </c>
      <c r="F54">
        <v>38</v>
      </c>
    </row>
    <row r="55" spans="4:6" x14ac:dyDescent="0.3">
      <c r="D55">
        <f t="shared" si="65"/>
        <v>36</v>
      </c>
      <c r="E55">
        <v>37</v>
      </c>
      <c r="F55">
        <v>41</v>
      </c>
    </row>
    <row r="56" spans="4:6" x14ac:dyDescent="0.3">
      <c r="D56">
        <f t="shared" si="65"/>
        <v>37</v>
      </c>
      <c r="E56">
        <v>43</v>
      </c>
      <c r="F56">
        <v>41</v>
      </c>
    </row>
    <row r="57" spans="4:6" x14ac:dyDescent="0.3">
      <c r="D57">
        <f t="shared" si="65"/>
        <v>38</v>
      </c>
      <c r="E57">
        <v>0</v>
      </c>
      <c r="F57">
        <v>0</v>
      </c>
    </row>
    <row r="58" spans="4:6" x14ac:dyDescent="0.3">
      <c r="D58">
        <f t="shared" si="65"/>
        <v>39</v>
      </c>
      <c r="E58">
        <v>35</v>
      </c>
      <c r="F58">
        <v>42</v>
      </c>
    </row>
    <row r="59" spans="4:6" x14ac:dyDescent="0.3">
      <c r="D59">
        <f t="shared" si="65"/>
        <v>40</v>
      </c>
      <c r="E59">
        <v>35</v>
      </c>
      <c r="F59">
        <v>35</v>
      </c>
    </row>
    <row r="60" spans="4:6" x14ac:dyDescent="0.3">
      <c r="D60">
        <f t="shared" si="65"/>
        <v>41</v>
      </c>
      <c r="E60">
        <v>45</v>
      </c>
      <c r="F60">
        <v>19</v>
      </c>
    </row>
    <row r="61" spans="4:6" x14ac:dyDescent="0.3">
      <c r="D61">
        <f t="shared" si="65"/>
        <v>42</v>
      </c>
      <c r="E61">
        <v>44</v>
      </c>
      <c r="F61">
        <v>38</v>
      </c>
    </row>
    <row r="62" spans="4:6" x14ac:dyDescent="0.3">
      <c r="D62">
        <f t="shared" si="65"/>
        <v>43</v>
      </c>
      <c r="E62">
        <v>44</v>
      </c>
      <c r="F62">
        <v>48</v>
      </c>
    </row>
    <row r="63" spans="4:6" x14ac:dyDescent="0.3">
      <c r="D63">
        <f t="shared" si="65"/>
        <v>44</v>
      </c>
      <c r="E63">
        <v>46</v>
      </c>
      <c r="F63">
        <v>46</v>
      </c>
    </row>
    <row r="64" spans="4:6" x14ac:dyDescent="0.3">
      <c r="D64">
        <f t="shared" si="65"/>
        <v>45</v>
      </c>
      <c r="E64">
        <v>44</v>
      </c>
      <c r="F64">
        <v>48</v>
      </c>
    </row>
    <row r="65" spans="4:6" x14ac:dyDescent="0.3">
      <c r="D65">
        <f t="shared" si="65"/>
        <v>46</v>
      </c>
      <c r="E65">
        <v>53</v>
      </c>
      <c r="F65">
        <v>47</v>
      </c>
    </row>
    <row r="66" spans="4:6" x14ac:dyDescent="0.3">
      <c r="D66">
        <f t="shared" si="65"/>
        <v>47</v>
      </c>
      <c r="E66">
        <v>33</v>
      </c>
      <c r="F66">
        <v>0</v>
      </c>
    </row>
    <row r="67" spans="4:6" x14ac:dyDescent="0.3">
      <c r="D67">
        <f t="shared" si="65"/>
        <v>48</v>
      </c>
      <c r="E67">
        <v>49</v>
      </c>
      <c r="F67">
        <v>52</v>
      </c>
    </row>
    <row r="68" spans="4:6" x14ac:dyDescent="0.3">
      <c r="D68">
        <f t="shared" si="65"/>
        <v>49</v>
      </c>
      <c r="E68">
        <v>50</v>
      </c>
      <c r="F68">
        <v>51</v>
      </c>
    </row>
    <row r="69" spans="4:6" x14ac:dyDescent="0.3">
      <c r="D69">
        <f t="shared" si="65"/>
        <v>50</v>
      </c>
      <c r="E69">
        <v>33</v>
      </c>
      <c r="F69">
        <v>0</v>
      </c>
    </row>
    <row r="70" spans="4:6" x14ac:dyDescent="0.3">
      <c r="D70">
        <f t="shared" si="65"/>
        <v>51</v>
      </c>
      <c r="E70">
        <v>33</v>
      </c>
      <c r="F70">
        <v>0</v>
      </c>
    </row>
    <row r="71" spans="4:6" x14ac:dyDescent="0.3">
      <c r="D71">
        <f t="shared" si="65"/>
        <v>52</v>
      </c>
      <c r="E71">
        <v>33</v>
      </c>
      <c r="F71">
        <v>0</v>
      </c>
    </row>
    <row r="72" spans="4:6" x14ac:dyDescent="0.3">
      <c r="D72">
        <f t="shared" si="65"/>
        <v>53</v>
      </c>
      <c r="E72">
        <v>33</v>
      </c>
      <c r="F72">
        <v>0</v>
      </c>
    </row>
    <row r="73" spans="4:6" x14ac:dyDescent="0.3">
      <c r="D73">
        <f t="shared" si="65"/>
        <v>54</v>
      </c>
    </row>
    <row r="74" spans="4:6" x14ac:dyDescent="0.3">
      <c r="D74">
        <f t="shared" si="65"/>
        <v>55</v>
      </c>
    </row>
    <row r="75" spans="4:6" x14ac:dyDescent="0.3">
      <c r="D75">
        <f t="shared" si="65"/>
        <v>56</v>
      </c>
    </row>
    <row r="76" spans="4:6" x14ac:dyDescent="0.3">
      <c r="D76">
        <f t="shared" si="65"/>
        <v>57</v>
      </c>
    </row>
    <row r="77" spans="4:6" x14ac:dyDescent="0.3">
      <c r="D77">
        <f t="shared" si="65"/>
        <v>58</v>
      </c>
    </row>
    <row r="78" spans="4:6" x14ac:dyDescent="0.3">
      <c r="D78">
        <f t="shared" si="65"/>
        <v>59</v>
      </c>
    </row>
    <row r="79" spans="4:6" x14ac:dyDescent="0.3">
      <c r="D79">
        <f t="shared" si="65"/>
        <v>60</v>
      </c>
    </row>
    <row r="80" spans="4:6" x14ac:dyDescent="0.3">
      <c r="D80">
        <f t="shared" si="65"/>
        <v>61</v>
      </c>
    </row>
    <row r="81" spans="4:4" x14ac:dyDescent="0.3">
      <c r="D81">
        <f t="shared" si="65"/>
        <v>62</v>
      </c>
    </row>
    <row r="82" spans="4:4" x14ac:dyDescent="0.3">
      <c r="D82">
        <f t="shared" si="65"/>
        <v>63</v>
      </c>
    </row>
    <row r="83" spans="4:4" x14ac:dyDescent="0.3">
      <c r="D83">
        <f t="shared" si="65"/>
        <v>64</v>
      </c>
    </row>
    <row r="84" spans="4:4" x14ac:dyDescent="0.3">
      <c r="D84">
        <f t="shared" si="65"/>
        <v>65</v>
      </c>
    </row>
    <row r="85" spans="4:4" x14ac:dyDescent="0.3">
      <c r="D85">
        <f t="shared" si="65"/>
        <v>66</v>
      </c>
    </row>
    <row r="86" spans="4:4" x14ac:dyDescent="0.3">
      <c r="D86">
        <f t="shared" si="65"/>
        <v>67</v>
      </c>
    </row>
    <row r="87" spans="4:4" x14ac:dyDescent="0.3">
      <c r="D87">
        <f t="shared" si="65"/>
        <v>68</v>
      </c>
    </row>
    <row r="88" spans="4:4" x14ac:dyDescent="0.3">
      <c r="D88">
        <f t="shared" si="65"/>
        <v>69</v>
      </c>
    </row>
    <row r="89" spans="4:4" x14ac:dyDescent="0.3">
      <c r="D89">
        <f t="shared" si="65"/>
        <v>70</v>
      </c>
    </row>
    <row r="90" spans="4:4" x14ac:dyDescent="0.3">
      <c r="D90">
        <f t="shared" si="65"/>
        <v>71</v>
      </c>
    </row>
    <row r="91" spans="4:4" x14ac:dyDescent="0.3">
      <c r="D91">
        <f t="shared" si="65"/>
        <v>72</v>
      </c>
    </row>
    <row r="92" spans="4:4" x14ac:dyDescent="0.3">
      <c r="D92">
        <f t="shared" si="65"/>
        <v>73</v>
      </c>
    </row>
    <row r="93" spans="4:4" x14ac:dyDescent="0.3">
      <c r="D93">
        <f t="shared" si="65"/>
        <v>74</v>
      </c>
    </row>
    <row r="94" spans="4:4" x14ac:dyDescent="0.3">
      <c r="D94">
        <f t="shared" si="65"/>
        <v>75</v>
      </c>
    </row>
    <row r="95" spans="4:4" x14ac:dyDescent="0.3">
      <c r="D95">
        <f t="shared" si="65"/>
        <v>76</v>
      </c>
    </row>
    <row r="96" spans="4:4" x14ac:dyDescent="0.3">
      <c r="D96">
        <f t="shared" ref="D96:D99" si="66">D95+1</f>
        <v>77</v>
      </c>
    </row>
    <row r="97" spans="4:4" x14ac:dyDescent="0.3">
      <c r="D97">
        <f t="shared" si="66"/>
        <v>78</v>
      </c>
    </row>
    <row r="98" spans="4:4" x14ac:dyDescent="0.3">
      <c r="D98">
        <f t="shared" si="66"/>
        <v>79</v>
      </c>
    </row>
    <row r="99" spans="4:4" x14ac:dyDescent="0.3">
      <c r="D99">
        <f t="shared" si="66"/>
        <v>80</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2</vt:i4>
      </vt:variant>
      <vt:variant>
        <vt:lpstr>Plages nommées</vt:lpstr>
      </vt:variant>
      <vt:variant>
        <vt:i4>6</vt:i4>
      </vt:variant>
    </vt:vector>
  </HeadingPairs>
  <TitlesOfParts>
    <vt:vector size="8" baseType="lpstr">
      <vt:lpstr>Jeux</vt:lpstr>
      <vt:lpstr>Histoire</vt:lpstr>
      <vt:lpstr>Chap1</vt:lpstr>
      <vt:lpstr>Choix1</vt:lpstr>
      <vt:lpstr>Choix2</vt:lpstr>
      <vt:lpstr>num</vt:lpstr>
      <vt:lpstr>Situ1</vt:lpstr>
      <vt:lpstr>Situa1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Hugo</dc:creator>
  <cp:lastModifiedBy>Lucas Le Moing</cp:lastModifiedBy>
  <dcterms:created xsi:type="dcterms:W3CDTF">2020-11-12T07:56:14Z</dcterms:created>
  <dcterms:modified xsi:type="dcterms:W3CDTF">2021-01-09T17:22:54Z</dcterms:modified>
</cp:coreProperties>
</file>